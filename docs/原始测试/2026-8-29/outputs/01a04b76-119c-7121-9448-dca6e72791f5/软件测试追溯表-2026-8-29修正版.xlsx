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5d32f5862a4b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追溯总表" sheetId="1" r:id="Rc1dc18cf9e0c4935"/>
    <x:sheet xmlns:r="http://schemas.openxmlformats.org/officeDocument/2006/relationships" name="测试汇总" sheetId="2" r:id="R61d1aefb8f614fe6"/>
    <x:sheet xmlns:r="http://schemas.openxmlformats.org/officeDocument/2006/relationships" name="编号字典" sheetId="3" r:id="Re1108264141b47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0.0%"/>
  </x:numFmts>
  <x:fonts count="15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7324D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b/>
      <x:sz val="10"/>
      <x:color rgb="FF17324D"/>
      <x:name val="Carlito"/>
    </x:font>
    <x:font>
      <x:b/>
      <x:sz val="10"/>
      <x:color rgb="FF138A5B"/>
      <x:name val="Carlito"/>
    </x:font>
    <x:font>
      <x:b/>
      <x:sz val="11"/>
      <x:color rgb="FF138A5B"/>
      <x:name val="Carlito"/>
    </x:font>
    <x:font>
      <x:b/>
      <x:sz val="18"/>
      <x:color rgb="FFFFFFFF"/>
      <x:name val="Microsoft YaHei"/>
    </x:font>
    <x:font>
      <x:sz val="11"/>
      <x:name val="Microsoft YaHei"/>
    </x:font>
    <x:font>
      <x:b/>
      <x:sz val="11"/>
      <x:color rgb="FFFFFFFF"/>
      <x:name val="Microsoft YaHei"/>
    </x:font>
    <x:font>
      <x:b/>
      <x:sz val="11"/>
      <x:color rgb="FF138A5B"/>
      <x:name val="Microsoft YaHei"/>
    </x:font>
    <x:font>
      <x:b/>
      <x:sz val="10"/>
      <x:color rgb="FF9C6500"/>
      <x:name val="Carlito"/>
    </x:font>
    <x:font>
      <x:sz val="10"/>
      <x:color rgb="FF9C6500"/>
      <x:name val="Carlito"/>
    </x:font>
    <x:font>
      <x:b/>
      <x:sz val="11"/>
      <x:color rgb="FF9C65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1FF"/>
      </x:patternFill>
    </x:fill>
    <x:fill>
      <x:patternFill patternType="solid">
        <x:fgColor rgb="FF2F6BFF"/>
      </x:patternFill>
    </x:fill>
    <x:fill>
      <x:patternFill patternType="solid">
        <x:fgColor rgb="FFE8F7F0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D7E0EA"/>
      </x:left>
      <x:right style="thin">
        <x:color rgb="FFD7E0EA"/>
      </x:right>
      <x:top style="thin">
        <x:color rgb="FFD7E0EA"/>
      </x:top>
      <x:bottom style="thin">
        <x:color rgb="FFD7E0EA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20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horizontal="center" vertical="top" wrapText="1"/>
    </x:xf>
    <x:xf numFmtId="0" fontId="4" fillId="5" borderId="1" xfId="0" applyNumberFormat="1" applyFont="1" applyFill="1" applyBorder="1" applyAlignment="1">
      <x:alignment horizontal="center" vertical="top" wrapText="1"/>
    </x:xf>
    <x:xf numFmtId="0" fontId="6" fillId="5" borderId="1" xfId="0" applyNumberFormat="1" applyFont="1" applyFill="1" applyBorder="1" applyAlignment="1">
      <x:alignment horizontal="center" vertical="top" wrapText="1"/>
    </x:xf>
    <x:xf numFmtId="0" fontId="6" fillId="5" borderId="1" xfId="0" applyNumberFormat="1" applyFont="1" applyFill="1" applyBorder="1" applyAlignment="1">
      <x:alignment horizontal="center" vertical="center" wrapText="1"/>
    </x:xf>
    <x:xf numFmtId="200" fontId="4" fillId="5" borderId="1" xfId="0" applyNumberFormat="1" applyFont="1" applyFill="1" applyBorder="1" applyAlignment="1">
      <x:alignment vertical="top" wrapText="1"/>
    </x:xf>
    <x:xf numFmtId="200" fontId="6" fillId="5" borderId="1" xfId="0" applyNumberFormat="1" applyFont="1" applyFill="1" applyBorder="1" applyAlignment="1">
      <x:alignment vertical="top" wrapText="1"/>
    </x:xf>
    <x:xf numFmtId="200" fontId="6" fillId="5" borderId="1" xfId="0" applyNumberFormat="1" applyFont="1" applyFill="1" applyBorder="1" applyAlignment="1">
      <x:alignment horizontal="center" vertical="top" wrapText="1"/>
    </x:xf>
    <x:xf numFmtId="200" fontId="6" fillId="5" borderId="1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horizontal="center" vertical="center"/>
    </x:xf>
    <x:xf numFmtId="201" fontId="0" fillId="0" borderId="1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 applyAlignment="1">
      <x:alignment horizontal="center" vertical="center"/>
    </x:xf>
    <x:xf numFmtId="201" fontId="0" fillId="5" borderId="1" xfId="0" applyNumberFormat="1" applyFont="1" applyFill="1" applyBorder="1" applyAlignment="1">
      <x:alignment horizontal="center" vertical="center"/>
    </x:xf>
    <x:xf numFmtId="0" fontId="7" fillId="5" borderId="1" xfId="0" applyNumberFormat="1" applyFont="1" applyFill="1" applyBorder="1" applyAlignment="1">
      <x:alignment vertical="center"/>
    </x:xf>
    <x:xf numFmtId="0" fontId="7" fillId="5" borderId="1" xfId="0" applyNumberFormat="1" applyFont="1" applyFill="1" applyBorder="1" applyAlignment="1">
      <x:alignment horizontal="center" vertical="center"/>
    </x:xf>
    <x:xf numFmtId="201" fontId="7" fillId="5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/>
    <x:xf numFmtId="0" fontId="10" fillId="4" borderId="1" xfId="0" applyNumberFormat="1" applyFont="1" applyFill="1" applyBorder="1" applyAlignment="1">
      <x:alignment horizontal="center"/>
    </x:xf>
    <x:xf numFmtId="0" fontId="9" fillId="0" borderId="1" xfId="0" applyNumberFormat="1" applyFont="1" applyFill="1" applyBorder="1" applyAlignment="1">
      <x:alignment vertical="center"/>
    </x:xf>
    <x:xf numFmtId="0" fontId="9" fillId="0" borderId="1" xfId="0" applyNumberFormat="1" applyFont="1" applyFill="1" applyBorder="1" applyAlignment="1">
      <x:alignment horizontal="center" vertical="center"/>
    </x:xf>
    <x:xf numFmtId="201" fontId="9" fillId="0" borderId="1" xfId="0" applyNumberFormat="1" applyFont="1" applyFill="1" applyBorder="1" applyAlignment="1">
      <x:alignment horizontal="center" vertical="center"/>
    </x:xf>
    <x:xf numFmtId="0" fontId="11" fillId="5" borderId="1" xfId="0" applyNumberFormat="1" applyFont="1" applyFill="1" applyBorder="1" applyAlignment="1">
      <x:alignment vertical="center"/>
    </x:xf>
    <x:xf numFmtId="0" fontId="11" fillId="5" borderId="1" xfId="0" applyNumberFormat="1" applyFont="1" applyFill="1" applyBorder="1" applyAlignment="1">
      <x:alignment horizontal="center" vertical="center"/>
    </x:xf>
    <x:xf numFmtId="201" fontId="11" fillId="5" borderId="1" xfId="0" applyNumberFormat="1" applyFont="1" applyFill="1" applyBorder="1" applyAlignment="1">
      <x:alignment horizontal="center" vertical="center"/>
    </x:xf>
    <x:xf numFmtId="0" fontId="10" fillId="2" borderId="1" xfId="0" applyNumberFormat="1" applyFont="1" applyFill="1" applyBorder="1" applyAlignment="1">
      <x:alignment horizontal="center"/>
    </x:xf>
    <x:xf numFmtId="0" fontId="9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7" fillId="5" borderId="1" xfId="0" applyNumberFormat="1" applyFont="1" applyFill="1" applyBorder="1" applyAlignment="1">
      <x:alignment vertical="center" wrapText="1"/>
    </x:xf>
    <x:xf numFmtId="0" fontId="7" fillId="5" borderId="1" xfId="0" applyNumberFormat="1" applyFont="1" applyFill="1" applyBorder="1" applyAlignment="1">
      <x:alignment horizontal="center" vertical="center" wrapText="1"/>
    </x:xf>
    <x:xf numFmtId="0" fontId="4" fillId="6" borderId="1" xfId="0" applyNumberFormat="1" applyFont="1" applyFill="1" applyBorder="1" applyAlignment="1">
      <x:alignment horizontal="center" vertical="top" wrapText="1"/>
    </x:xf>
    <x:xf numFmtId="0" fontId="12" fillId="6" borderId="1" xfId="0" applyNumberFormat="1" applyFont="1" applyFill="1" applyBorder="1" applyAlignment="1">
      <x:alignment horizontal="center" vertical="top" wrapText="1"/>
    </x:xf>
    <x:xf numFmtId="0" fontId="4" fillId="6" borderId="1" xfId="0" applyNumberFormat="1" applyFont="1" applyFill="1" applyBorder="1" applyAlignment="1">
      <x:alignment vertical="top" wrapText="1"/>
    </x:xf>
    <x:xf numFmtId="200" fontId="6" fillId="6" borderId="1" xfId="0" applyNumberFormat="1" applyFont="1" applyFill="1" applyBorder="1" applyAlignment="1">
      <x:alignment horizontal="center" vertical="center" wrapText="1"/>
    </x:xf>
    <x:xf numFmtId="0" fontId="13" fillId="6" borderId="1" xfId="0" applyNumberFormat="1" applyFont="1" applyFill="1" applyBorder="1" applyAlignment="1">
      <x:alignment vertical="top" wrapText="1"/>
    </x:xf>
    <x:xf numFmtId="200" fontId="12" fillId="6" borderId="1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 applyAlignment="1">
      <x:alignment vertical="center" wrapText="1"/>
    </x:xf>
    <x:xf numFmtId="0" fontId="14" fillId="6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horizontal="center" vertical="center" wrapText="1"/>
    </x:xf>
    <x:xf numFmtId="0" fontId="14" fillId="6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7262a648924e7c" /><Relationship Type="http://schemas.openxmlformats.org/officeDocument/2006/relationships/theme" Target="/xl/theme/theme1.xml" Id="R2b5bac1e3d5b4428" /><Relationship Type="http://schemas.openxmlformats.org/officeDocument/2006/relationships/sharedStrings" Target="/xl/sharedStrings.xml" Id="R0301002f27504168" /><Relationship Type="http://schemas.openxmlformats.org/officeDocument/2006/relationships/worksheet" Target="/xl/worksheets/sheet1.xml" Id="Rc1dc18cf9e0c4935" /><Relationship Type="http://schemas.openxmlformats.org/officeDocument/2006/relationships/worksheet" Target="/xl/worksheets/sheet2.xml" Id="R61d1aefb8f614fe6" /><Relationship Type="http://schemas.openxmlformats.org/officeDocument/2006/relationships/worksheet" Target="/xl/worksheets/sheet3.xml" Id="Re1108264141b478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2f6290345d047f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各层测试数量与通过数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总数</c:v>
          </c:tx>
          <c:cat>
            <c:strRef>
              <c:f>'测试汇总'!$A$4:$A$7</c:f>
              <c:strCache>
                <c:ptCount val="0"/>
              </c:strCache>
            </c:strRef>
          </c:cat>
          <c:val>
            <c:numRef>
              <c:f>'测试汇总'!$B$4:$B$7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通过</c:v>
          </c:tx>
          <c:cat>
            <c:strRef>
              <c:f>'测试汇总'!$A$4:$A$7</c:f>
              <c:strCache>
                <c:ptCount val="0"/>
              </c:strCache>
            </c:strRef>
          </c:cat>
          <c:val>
            <c:numRef>
              <c:f>'测试汇总'!$C$4:$C$7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2f6290345d047f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raceabilityTable" displayName="TraceabilityTable" ref="A4:N14" headerRowCount="1" totalsRowCount="0" totalsRowShown="0">
  <x:tableColumns count="14">
    <x:tableColumn id="1" name="需求编号"/>
    <x:tableColumn id="2" name="需求说明"/>
    <x:tableColumn id="3" name="用例编号"/>
    <x:tableColumn id="4" name="用例名称"/>
    <x:tableColumn id="5" name="系统级图编号"/>
    <x:tableColumn id="6" name="组件级图编号"/>
    <x:tableColumn id="7" name="对象级图编号"/>
    <x:tableColumn id="8" name="涉及类（类图）"/>
    <x:tableColumn id="9" name="单元/DAO测试编号"/>
    <x:tableColumn id="10" name="API测试编号"/>
    <x:tableColumn id="11" name="E2E测试编号"/>
    <x:tableColumn id="12" name="测试结果"/>
    <x:tableColumn id="13" name="备注"/>
    <x:tableColumn id="14" name="完整度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4b127075873430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99268fe8c8634a5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4" hidden="0" customWidth="1"/>
    <x:col min="3" max="3" width="12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48" hidden="0" customWidth="1"/>
    <x:col min="9" max="9" width="25" hidden="0" customWidth="1"/>
    <x:col min="10" max="10" width="22" hidden="0" customWidth="1"/>
    <x:col min="11" max="11" width="16" hidden="0" customWidth="1"/>
    <x:col min="12" max="12" width="12" hidden="0" customWidth="1"/>
    <x:col min="13" max="13" width="36" hidden="0" customWidth="1"/>
    <x:col min="14" max="14" width="12" hidden="0" customWidth="1"/>
  </x:cols>
  <x:sheetData>
    <x:row r="1" ht="34" customHeight="1">
      <x:c r="A1" s="3" t="str">
        <x:v>教学平台软件测试追溯表（2026-08-29 修正版）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6" customHeight="1">
      <x:c r="A2" s="6" t="str">
        <x:v>范围：REQ-01～REQ-10 / UC-01～UC-10｜测试：45 Unit + 4 DAO + 15 API + 10 E2E = 74/74｜对象级图已核实 6/10｜生成日期：2026-08-29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4" ht="32" customHeight="1">
      <x:c r="A4" s="12" t="str">
        <x:v>需求编号</x:v>
      </x:c>
      <x:c r="B4" s="12" t="str">
        <x:v>需求说明</x:v>
      </x:c>
      <x:c r="C4" s="12" t="str">
        <x:v>用例编号</x:v>
      </x:c>
      <x:c r="D4" s="12" t="str">
        <x:v>用例名称</x:v>
      </x:c>
      <x:c r="E4" s="12" t="str">
        <x:v>系统级图编号</x:v>
      </x:c>
      <x:c r="F4" s="12" t="str">
        <x:v>组件级图编号</x:v>
      </x:c>
      <x:c r="G4" s="12" t="str">
        <x:v>对象级图编号</x:v>
      </x:c>
      <x:c r="H4" s="12" t="str">
        <x:v>涉及类（类图）</x:v>
      </x:c>
      <x:c r="I4" s="12" t="str">
        <x:v>单元/DAO测试编号</x:v>
      </x:c>
      <x:c r="J4" s="12" t="str">
        <x:v>API测试编号</x:v>
      </x:c>
      <x:c r="K4" s="12" t="str">
        <x:v>E2E测试编号</x:v>
      </x:c>
      <x:c r="L4" s="12" t="str">
        <x:v>测试结果</x:v>
      </x:c>
      <x:c r="M4" s="12" t="str">
        <x:v>备注</x:v>
      </x:c>
      <x:c r="N4" s="12" t="str">
        <x:v>完整度</x:v>
      </x:c>
    </x:row>
    <x:row r="5" ht="78" customHeight="1">
      <x:c r="A5" s="22" t="str">
        <x:v>REQ-01</x:v>
      </x:c>
      <x:c r="B5" s="20" t="str">
        <x:v>学生选课与退课，管理员可调整名单并保留日志</x:v>
      </x:c>
      <x:c r="C5" s="23" t="str">
        <x:v>UC-01</x:v>
      </x:c>
      <x:c r="D5" s="23" t="str">
        <x:v>选课/退课</x:v>
      </x:c>
      <x:c r="E5" s="23" t="str">
        <x:v>SYS-SEQ-01</x:v>
      </x:c>
      <x:c r="F5" s="23" t="str">
        <x:v>DES-SD-UC01</x:v>
      </x:c>
      <x:c r="G5" s="23" t="str">
        <x:v>OBJ-SEQ-01</x:v>
      </x:c>
      <x:c r="H5" s="20" t="str">
        <x:v>EnrollmentRoutes, EnrollmentService, PrismaClient, Enrollment, EnrollmentLog</x:v>
      </x:c>
      <x:c r="I5" s="23" t="str">
        <x:v>UNIT-01-01～02；DAO-01</x:v>
      </x:c>
      <x:c r="J5" s="23" t="str">
        <x:v>API-01-01</x:v>
      </x:c>
      <x:c r="K5" s="23" t="str">
        <x:v>E2E-01-01</x:v>
      </x:c>
      <x:c r="L5" s="26" t="str">
        <x:v>通过</x:v>
      </x:c>
      <x:c r="M5" s="20" t="str">
        <x:v>E2E：管理员加课→日志→退课→日志</x:v>
      </x:c>
      <x:c r="N5" s="30" t="n">
        <x:v>1</x:v>
      </x:c>
    </x:row>
    <x:row r="6" ht="78" customHeight="1">
      <x:c r="A6" s="22" t="str">
        <x:v>REQ-02</x:v>
      </x:c>
      <x:c r="B6" s="20" t="str">
        <x:v>教师维护课程信息、课表与发布配置</x:v>
      </x:c>
      <x:c r="C6" s="23" t="str">
        <x:v>UC-02</x:v>
      </x:c>
      <x:c r="D6" s="23" t="str">
        <x:v>课程管理</x:v>
      </x:c>
      <x:c r="E6" s="23" t="str">
        <x:v>SYS-SEQ-02</x:v>
      </x:c>
      <x:c r="F6" s="23" t="str">
        <x:v>DES-SD-UC02</x:v>
      </x:c>
      <x:c r="G6" s="62" t="str">
        <x:v>待补</x:v>
      </x:c>
      <x:c r="H6" s="20" t="str">
        <x:v>CourseRoutes, ScheduleService, PrismaClient, Course</x:v>
      </x:c>
      <x:c r="I6" s="23" t="str">
        <x:v>UNIT-02-01～03；DAO-01</x:v>
      </x:c>
      <x:c r="J6" s="23" t="str">
        <x:v>API-02-01</x:v>
      </x:c>
      <x:c r="K6" s="23" t="str">
        <x:v>E2E-02-01</x:v>
      </x:c>
      <x:c r="L6" s="26" t="str">
        <x:v>通过</x:v>
      </x:c>
      <x:c r="M6" s="65" t="str">
        <x:v>自动化通过；对象级顺序图待补</x:v>
      </x:c>
      <x:c r="N6" s="66" t="n">
        <x:v>0.9</x:v>
      </x:c>
    </x:row>
    <x:row r="7" ht="78" customHeight="1">
      <x:c r="A7" s="22" t="str">
        <x:v>REQ-03</x:v>
      </x:c>
      <x:c r="B7" s="20" t="str">
        <x:v>教师发布公告，学生阅读并记录已读状态</x:v>
      </x:c>
      <x:c r="C7" s="23" t="str">
        <x:v>UC-03</x:v>
      </x:c>
      <x:c r="D7" s="23" t="str">
        <x:v>课程公告</x:v>
      </x:c>
      <x:c r="E7" s="23" t="str">
        <x:v>SYS-SEQ-03</x:v>
      </x:c>
      <x:c r="F7" s="23" t="str">
        <x:v>DES-SD-UC03</x:v>
      </x:c>
      <x:c r="G7" s="62" t="str">
        <x:v>待补</x:v>
      </x:c>
      <x:c r="H7" s="20" t="str">
        <x:v>AnnouncementRoutes, AnnouncementHistory, NotificationEvents, CourseAnnouncement, AnnouncementRead</x:v>
      </x:c>
      <x:c r="I7" s="23" t="str">
        <x:v>UNIT-03-01～04；DAO-02</x:v>
      </x:c>
      <x:c r="J7" s="23" t="str">
        <x:v>API-03-01、API-03-02</x:v>
      </x:c>
      <x:c r="K7" s="23" t="str">
        <x:v>E2E-03-01</x:v>
      </x:c>
      <x:c r="L7" s="26" t="str">
        <x:v>通过</x:v>
      </x:c>
      <x:c r="M7" s="65" t="str">
        <x:v>含学生越权发布异常流程；对象级顺序图待补</x:v>
      </x:c>
      <x:c r="N7" s="66" t="n">
        <x:v>0.9</x:v>
      </x:c>
    </x:row>
    <x:row r="8" ht="78" customHeight="1">
      <x:c r="A8" s="22" t="str">
        <x:v>REQ-04</x:v>
      </x:c>
      <x:c r="B8" s="20" t="str">
        <x:v>教师上传课程资料，学生按权限下载</x:v>
      </x:c>
      <x:c r="C8" s="23" t="str">
        <x:v>UC-04</x:v>
      </x:c>
      <x:c r="D8" s="23" t="str">
        <x:v>课程资料</x:v>
      </x:c>
      <x:c r="E8" s="23" t="str">
        <x:v>SYS-SEQ-04</x:v>
      </x:c>
      <x:c r="F8" s="23" t="str">
        <x:v>DES-SD-UC04</x:v>
      </x:c>
      <x:c r="G8" s="62" t="str">
        <x:v>待补</x:v>
      </x:c>
      <x:c r="H8" s="20" t="str">
        <x:v>CourseMaterialRoutes, MaterialPolicy, FileStorage, CourseMaterial, MaterialFavorite</x:v>
      </x:c>
      <x:c r="I8" s="23" t="str">
        <x:v>UNIT-04-01～06；DAO-03</x:v>
      </x:c>
      <x:c r="J8" s="23" t="str">
        <x:v>API-04-01、API-04-02</x:v>
      </x:c>
      <x:c r="K8" s="23" t="str">
        <x:v>E2E-04-01</x:v>
      </x:c>
      <x:c r="L8" s="26" t="str">
        <x:v>通过</x:v>
      </x:c>
      <x:c r="M8" s="65" t="str">
        <x:v>校验下载原文与缺少文件异常；对象级顺序图待补</x:v>
      </x:c>
      <x:c r="N8" s="66" t="n">
        <x:v>0.9</x:v>
      </x:c>
    </x:row>
    <x:row r="9" ht="78" customHeight="1">
      <x:c r="A9" s="22" t="str">
        <x:v>REQ-05</x:v>
      </x:c>
      <x:c r="B9" s="20" t="str">
        <x:v>教师发布作业，学生提交，教师批改并发布成绩</x:v>
      </x:c>
      <x:c r="C9" s="23" t="str">
        <x:v>UC-05</x:v>
      </x:c>
      <x:c r="D9" s="23" t="str">
        <x:v>在线作业</x:v>
      </x:c>
      <x:c r="E9" s="23" t="str">
        <x:v>SYS-SEQ-05</x:v>
      </x:c>
      <x:c r="F9" s="23" t="str">
        <x:v>DES-SD-UC05</x:v>
      </x:c>
      <x:c r="G9" s="23" t="str">
        <x:v>OBJ-SEQ-05</x:v>
      </x:c>
      <x:c r="H9" s="20" t="str">
        <x:v>HomeworkRoutes, HomeworkStudentRoutes, HomeworkSettings, Homework, HomeworkSubmission</x:v>
      </x:c>
      <x:c r="I9" s="23" t="str">
        <x:v>UNIT-05-01～06；DAO-01</x:v>
      </x:c>
      <x:c r="J9" s="23" t="str">
        <x:v>API-05-01、API-05-02</x:v>
      </x:c>
      <x:c r="K9" s="23" t="str">
        <x:v>E2E-05-01</x:v>
      </x:c>
      <x:c r="L9" s="26" t="str">
        <x:v>通过</x:v>
      </x:c>
      <x:c r="M9" s="20" t="str">
        <x:v>发布→提交→批改→发布→学生查看</x:v>
      </x:c>
      <x:c r="N9" s="30" t="n">
        <x:v>1</x:v>
      </x:c>
    </x:row>
    <x:row r="10" ht="78" customHeight="1">
      <x:c r="A10" s="22" t="str">
        <x:v>REQ-06</x:v>
      </x:c>
      <x:c r="B10" s="20" t="str">
        <x:v>教师配置实验和用例，学生提交并进入评测</x:v>
      </x:c>
      <x:c r="C10" s="23" t="str">
        <x:v>UC-06</x:v>
      </x:c>
      <x:c r="D10" s="23" t="str">
        <x:v>在线实验</x:v>
      </x:c>
      <x:c r="E10" s="23" t="str">
        <x:v>SYS-SEQ-06</x:v>
      </x:c>
      <x:c r="F10" s="23" t="str">
        <x:v>DES-SD-UC06</x:v>
      </x:c>
      <x:c r="G10" s="23" t="str">
        <x:v>OBJ-SEQ-06</x:v>
      </x:c>
      <x:c r="H10" s="20" t="str">
        <x:v>LabSetRoutes, LabRoutes, LabSubmitService, LabSetStatus, Submission, TestCase</x:v>
      </x:c>
      <x:c r="I10" s="23" t="str">
        <x:v>UNIT-06-01～06；DAO-01</x:v>
      </x:c>
      <x:c r="J10" s="23" t="str">
        <x:v>API-06-01</x:v>
      </x:c>
      <x:c r="K10" s="23" t="str">
        <x:v>E2E-06-01</x:v>
      </x:c>
      <x:c r="L10" s="26" t="str">
        <x:v>通过</x:v>
      </x:c>
      <x:c r="M10" s="20" t="str">
        <x:v>人工评测验证 PENDING_REVIEW 状态</x:v>
      </x:c>
      <x:c r="N10" s="30" t="n">
        <x:v>1</x:v>
      </x:c>
    </x:row>
    <x:row r="11" ht="78" customHeight="1">
      <x:c r="A11" s="22" t="str">
        <x:v>REQ-07</x:v>
      </x:c>
      <x:c r="B11" s="20" t="str">
        <x:v>学生智能组卷、作答、提交并查看自动评分</x:v>
      </x:c>
      <x:c r="C11" s="23" t="str">
        <x:v>UC-07</x:v>
      </x:c>
      <x:c r="D11" s="23" t="str">
        <x:v>智能练习</x:v>
      </x:c>
      <x:c r="E11" s="23" t="str">
        <x:v>SYS-SEQ-07</x:v>
      </x:c>
      <x:c r="F11" s="23" t="str">
        <x:v>DES-SD-UC07</x:v>
      </x:c>
      <x:c r="G11" s="23" t="str">
        <x:v>OBJ-SEQ-07</x:v>
      </x:c>
      <x:c r="H11" s="20" t="str">
        <x:v>PracticeRoutes, PracticeGradeService, PracticeRunner, PracticeSession, PracticeSessionItem</x:v>
      </x:c>
      <x:c r="I11" s="23" t="str">
        <x:v>UNIT-07-01～06；DAO-01</x:v>
      </x:c>
      <x:c r="J11" s="23" t="str">
        <x:v>API-07-01、API-07-02</x:v>
      </x:c>
      <x:c r="K11" s="23" t="str">
        <x:v>E2E-07-01</x:v>
      </x:c>
      <x:c r="L11" s="26" t="str">
        <x:v>通过</x:v>
      </x:c>
      <x:c r="M11" s="20" t="str">
        <x:v>修复 Windows 代码运行器；新增 UNIT-07-06</x:v>
      </x:c>
      <x:c r="N11" s="30" t="n">
        <x:v>1</x:v>
      </x:c>
    </x:row>
    <x:row r="12" ht="78" customHeight="1">
      <x:c r="A12" s="22" t="str">
        <x:v>REQ-08</x:v>
      </x:c>
      <x:c r="B12" s="20" t="str">
        <x:v>学生围绕实验发帖、提及成员并接收教师回复</x:v>
      </x:c>
      <x:c r="C12" s="23" t="str">
        <x:v>UC-08</x:v>
      </x:c>
      <x:c r="D12" s="23" t="str">
        <x:v>讨论互动</x:v>
      </x:c>
      <x:c r="E12" s="23" t="str">
        <x:v>SYS-SEQ-08</x:v>
      </x:c>
      <x:c r="F12" s="23" t="str">
        <x:v>DES-SD-UC08</x:v>
      </x:c>
      <x:c r="G12" s="23" t="str">
        <x:v>OBJ-SEQ-08</x:v>
      </x:c>
      <x:c r="H12" s="20" t="str">
        <x:v>DiscussionRoutes, NotificationEvents, DiscussionPost, DiscussionComment, SiteNotification</x:v>
      </x:c>
      <x:c r="I12" s="23" t="str">
        <x:v>UNIT-08-01～03；DAO-04</x:v>
      </x:c>
      <x:c r="J12" s="23" t="str">
        <x:v>API-08-01</x:v>
      </x:c>
      <x:c r="K12" s="23" t="str">
        <x:v>E2E-08-01</x:v>
      </x:c>
      <x:c r="L12" s="26" t="str">
        <x:v>通过</x:v>
      </x:c>
      <x:c r="M12" s="20" t="str">
        <x:v>发帖→教师回复→详情验证→清理</x:v>
      </x:c>
      <x:c r="N12" s="30" t="n">
        <x:v>1</x:v>
      </x:c>
    </x:row>
    <x:row r="13" ht="78" customHeight="1">
      <x:c r="A13" s="22" t="str">
        <x:v>REQ-09</x:v>
      </x:c>
      <x:c r="B13" s="20" t="str">
        <x:v>教师配置成绩权重，学生查看课程总评</x:v>
      </x:c>
      <x:c r="C13" s="23" t="str">
        <x:v>UC-09</x:v>
      </x:c>
      <x:c r="D13" s="23" t="str">
        <x:v>成绩管理</x:v>
      </x:c>
      <x:c r="E13" s="23" t="str">
        <x:v>SYS-SEQ-09</x:v>
      </x:c>
      <x:c r="F13" s="23" t="str">
        <x:v>DES-SD-UC09</x:v>
      </x:c>
      <x:c r="G13" s="23" t="str">
        <x:v>OBJ-SEQ-09</x:v>
      </x:c>
      <x:c r="H13" s="20" t="str">
        <x:v>GradesRoutes, GradebookService, LabGrades, Course, HomeworkSubmission</x:v>
      </x:c>
      <x:c r="I13" s="23" t="str">
        <x:v>UNIT-09-01～05；DAO-01</x:v>
      </x:c>
      <x:c r="J13" s="23" t="str">
        <x:v>API-09-01</x:v>
      </x:c>
      <x:c r="K13" s="23" t="str">
        <x:v>E2E-09-01</x:v>
      </x:c>
      <x:c r="L13" s="26" t="str">
        <x:v>通过</x:v>
      </x:c>
      <x:c r="M13" s="20" t="str">
        <x:v>未发布成绩不计入汇总；新增 UNIT-09-05</x:v>
      </x:c>
      <x:c r="N13" s="30" t="n">
        <x:v>1</x:v>
      </x:c>
    </x:row>
    <x:row r="14" ht="78" customHeight="1">
      <x:c r="A14" s="22" t="str">
        <x:v>REQ-10</x:v>
      </x:c>
      <x:c r="B14" s="20" t="str">
        <x:v>管理员查看用户操作日志、删除账号并审计</x:v>
      </x:c>
      <x:c r="C14" s="23" t="str">
        <x:v>UC-10</x:v>
      </x:c>
      <x:c r="D14" s="23" t="str">
        <x:v>用户与审计</x:v>
      </x:c>
      <x:c r="E14" s="23" t="str">
        <x:v>SYS-SEQ-10</x:v>
      </x:c>
      <x:c r="F14" s="23" t="str">
        <x:v>DES-SD-UC10</x:v>
      </x:c>
      <x:c r="G14" s="62" t="str">
        <x:v>待补</x:v>
      </x:c>
      <x:c r="H14" s="20" t="str">
        <x:v>AdminRoutes, EnrollmentLabels, PrismaClient, User, SiteNotification</x:v>
      </x:c>
      <x:c r="I14" s="23" t="str">
        <x:v>UNIT-10-01～04；DAO-01</x:v>
      </x:c>
      <x:c r="J14" s="23" t="str">
        <x:v>API-10-01、API-10-02</x:v>
      </x:c>
      <x:c r="K14" s="23" t="str">
        <x:v>E2E-10-01</x:v>
      </x:c>
      <x:c r="L14" s="26" t="str">
        <x:v>通过</x:v>
      </x:c>
      <x:c r="M14" s="65" t="str">
        <x:v>临时用户删除后验证 ADMIN_DELETE_USER；对象级顺序图待补</x:v>
      </x:c>
      <x:c r="N14" s="66" t="n">
        <x:v>0.9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f4b127075873430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34" hidden="0" customWidth="1"/>
    <x:col min="3" max="3" width="17" hidden="0" customWidth="1"/>
    <x:col min="4" max="4" width="17" hidden="0" customWidth="1"/>
    <x:col min="5" max="5" width="17" hidden="0" customWidth="1"/>
  </x:cols>
  <x:sheetData>
    <x:row r="1" ht="34" customHeight="1">
      <x:c r="A1" s="46" t="str">
        <x:v>自动化测试结果总览（2026-08-29）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  <x:c r="L1" s="46"/>
      <x:c r="M1" s="46"/>
      <x:c r="N1" s="46"/>
    </x:row>
    <x:row r="2">
      <x:c r="A2" s="47"/>
      <x:c r="B2" s="47"/>
      <x:c r="C2" s="47"/>
      <x:c r="D2" s="47"/>
      <x:c r="E2" s="47"/>
      <x:c r="F2" s="47"/>
      <x:c r="G2" s="47"/>
      <x:c r="H2" s="47"/>
      <x:c r="I2" s="47"/>
      <x:c r="J2" s="47"/>
      <x:c r="K2" s="47"/>
      <x:c r="L2" s="47"/>
      <x:c r="M2" s="47"/>
      <x:c r="N2" s="47"/>
    </x:row>
    <x:row r="3" ht="28" customHeight="1">
      <x:c r="A3" s="48" t="str">
        <x:v>测试类型</x:v>
      </x:c>
      <x:c r="B3" s="48" t="str">
        <x:v>总数</x:v>
      </x:c>
      <x:c r="C3" s="48" t="str">
        <x:v>通过</x:v>
      </x:c>
      <x:c r="D3" s="48" t="str">
        <x:v>失败</x:v>
      </x:c>
      <x:c r="E3" s="48" t="str">
        <x:v>通过率</x:v>
      </x:c>
      <x:c r="F3" s="47"/>
      <x:c r="G3" s="47"/>
      <x:c r="H3" s="47"/>
      <x:c r="I3" s="47"/>
      <x:c r="J3" s="47"/>
      <x:c r="K3" s="47"/>
      <x:c r="L3" s="47"/>
      <x:c r="M3" s="47"/>
      <x:c r="N3" s="47"/>
    </x:row>
    <x:row r="4" ht="26" customHeight="1">
      <x:c r="A4" s="49" t="str">
        <x:v>单元测试</x:v>
      </x:c>
      <x:c r="B4" s="50" t="n">
        <x:v>45</x:v>
      </x:c>
      <x:c r="C4" s="50" t="n">
        <x:v>45</x:v>
      </x:c>
      <x:c r="D4" s="50" t="n">
        <x:v>0</x:v>
      </x:c>
      <x:c r="E4" s="51" t="n">
        <x:f>IF(B4=0,0,C4/B4)</x:f>
        <x:v>1</x:v>
      </x:c>
      <x:c r="F4" s="47"/>
      <x:c r="G4" s="47"/>
      <x:c r="H4" s="47"/>
      <x:c r="I4" s="47"/>
      <x:c r="J4" s="47"/>
      <x:c r="K4" s="47"/>
      <x:c r="L4" s="47"/>
      <x:c r="M4" s="47"/>
      <x:c r="N4" s="47"/>
    </x:row>
    <x:row r="5" ht="26" customHeight="1">
      <x:c r="A5" s="49" t="str">
        <x:v>DAO集成测试</x:v>
      </x:c>
      <x:c r="B5" s="50" t="n">
        <x:v>4</x:v>
      </x:c>
      <x:c r="C5" s="50" t="n">
        <x:v>4</x:v>
      </x:c>
      <x:c r="D5" s="50" t="n">
        <x:v>0</x:v>
      </x:c>
      <x:c r="E5" s="51" t="n">
        <x:f>IF(B5=0,0,C5/B5)</x:f>
        <x:v>1</x:v>
      </x:c>
      <x:c r="F5" s="47"/>
      <x:c r="G5" s="47"/>
      <x:c r="H5" s="47"/>
      <x:c r="I5" s="47"/>
      <x:c r="J5" s="47"/>
      <x:c r="K5" s="47"/>
      <x:c r="L5" s="47"/>
      <x:c r="M5" s="47"/>
      <x:c r="N5" s="47"/>
    </x:row>
    <x:row r="6" ht="26" customHeight="1">
      <x:c r="A6" s="49" t="str">
        <x:v>API测试</x:v>
      </x:c>
      <x:c r="B6" s="50" t="n">
        <x:v>15</x:v>
      </x:c>
      <x:c r="C6" s="50" t="n">
        <x:v>15</x:v>
      </x:c>
      <x:c r="D6" s="50" t="n">
        <x:v>0</x:v>
      </x:c>
      <x:c r="E6" s="51" t="n">
        <x:f>IF(B6=0,0,C6/B6)</x:f>
        <x:v>1</x:v>
      </x:c>
      <x:c r="F6" s="47"/>
      <x:c r="G6" s="47"/>
      <x:c r="H6" s="47"/>
      <x:c r="I6" s="47"/>
      <x:c r="J6" s="47"/>
      <x:c r="K6" s="47"/>
      <x:c r="L6" s="47"/>
      <x:c r="M6" s="47"/>
      <x:c r="N6" s="47"/>
    </x:row>
    <x:row r="7" ht="26" customHeight="1">
      <x:c r="A7" s="49" t="str">
        <x:v>E2E测试</x:v>
      </x:c>
      <x:c r="B7" s="50" t="n">
        <x:v>10</x:v>
      </x:c>
      <x:c r="C7" s="50" t="n">
        <x:v>10</x:v>
      </x:c>
      <x:c r="D7" s="50" t="n">
        <x:v>0</x:v>
      </x:c>
      <x:c r="E7" s="51" t="n">
        <x:f>IF(B7=0,0,C7/B7)</x:f>
        <x:v>1</x:v>
      </x:c>
      <x:c r="F7" s="47"/>
      <x:c r="G7" s="47"/>
      <x:c r="H7" s="47"/>
      <x:c r="I7" s="47"/>
      <x:c r="J7" s="47"/>
      <x:c r="K7" s="47"/>
      <x:c r="L7" s="47"/>
      <x:c r="M7" s="47"/>
      <x:c r="N7" s="47"/>
    </x:row>
    <x:row r="8" ht="26" customHeight="1">
      <x:c r="A8" s="52" t="str">
        <x:v>合计</x:v>
      </x:c>
      <x:c r="B8" s="53" t="n">
        <x:f>SUM(B4:B7)</x:f>
        <x:v>74</x:v>
      </x:c>
      <x:c r="C8" s="53" t="n">
        <x:f>SUM(C4:C7)</x:f>
        <x:v>74</x:v>
      </x:c>
      <x:c r="D8" s="53" t="n">
        <x:f>SUM(D4:D7)</x:f>
        <x:v>0</x:v>
      </x:c>
      <x:c r="E8" s="54" t="n">
        <x:f>IF(B8=0,0,C8/B8)</x:f>
        <x:v>1</x:v>
      </x:c>
      <x:c r="F8" s="47"/>
      <x:c r="G8" s="47"/>
      <x:c r="H8" s="47"/>
      <x:c r="I8" s="47"/>
      <x:c r="J8" s="47"/>
      <x:c r="K8" s="47"/>
      <x:c r="L8" s="47"/>
      <x:c r="M8" s="47"/>
      <x:c r="N8" s="47"/>
    </x:row>
    <x:row r="9">
      <x:c r="A9" s="47"/>
      <x:c r="B9" s="47"/>
      <x:c r="C9" s="47"/>
      <x:c r="D9" s="47"/>
      <x:c r="E9" s="47"/>
      <x:c r="F9" s="47"/>
      <x:c r="G9" s="47"/>
      <x:c r="H9" s="47"/>
      <x:c r="I9" s="47"/>
      <x:c r="J9" s="47"/>
      <x:c r="K9" s="47"/>
      <x:c r="L9" s="47"/>
      <x:c r="M9" s="47"/>
      <x:c r="N9" s="47"/>
    </x:row>
    <x:row r="10">
      <x:c r="A10" s="47"/>
      <x:c r="B10" s="47"/>
      <x:c r="C10" s="47"/>
      <x:c r="D10" s="47"/>
      <x:c r="E10" s="47"/>
      <x:c r="F10" s="47"/>
      <x:c r="G10" s="47"/>
      <x:c r="H10" s="47"/>
      <x:c r="I10" s="47"/>
      <x:c r="J10" s="47"/>
      <x:c r="K10" s="47"/>
      <x:c r="L10" s="47"/>
      <x:c r="M10" s="47"/>
      <x:c r="N10" s="47"/>
    </x:row>
    <x:row r="11">
      <x:c r="A11" s="55" t="str">
        <x:v>环境</x:v>
      </x:c>
      <x:c r="B11" s="55" t="str">
        <x:v>测试命令</x:v>
      </x:c>
      <x:c r="C11" s="55" t="str">
        <x:v>总数</x:v>
      </x:c>
      <x:c r="D11" s="55" t="str">
        <x:v>失败</x:v>
      </x:c>
      <x:c r="E11" s="55" t="str">
        <x:v>结论</x:v>
      </x:c>
      <x:c r="F11" s="47"/>
      <x:c r="G11" s="47"/>
      <x:c r="H11" s="47"/>
      <x:c r="I11" s="47"/>
      <x:c r="J11" s="47"/>
      <x:c r="K11" s="47"/>
      <x:c r="L11" s="47"/>
      <x:c r="M11" s="47"/>
      <x:c r="N11" s="47"/>
    </x:row>
    <x:row r="12" ht="30" customHeight="1">
      <x:c r="A12" s="56" t="str">
        <x:v>本机全量</x:v>
      </x:c>
      <x:c r="B12" s="56" t="str">
        <x:v>npm run test:ci:failure-block</x:v>
      </x:c>
      <x:c r="C12" s="56" t="n">
        <x:v>74</x:v>
      </x:c>
      <x:c r="D12" s="56" t="n">
        <x:v>0</x:v>
      </x:c>
      <x:c r="E12" s="56" t="str">
        <x:v>通过</x:v>
      </x:c>
      <x:c r="F12" s="47"/>
      <x:c r="G12" s="47"/>
      <x:c r="H12" s="47"/>
      <x:c r="I12" s="47"/>
      <x:c r="J12" s="47"/>
      <x:c r="K12" s="47"/>
      <x:c r="L12" s="47"/>
      <x:c r="M12" s="47"/>
      <x:c r="N12" s="47"/>
    </x:row>
    <x:row r="13" ht="30" customHeight="1">
      <x:c r="A13" s="56" t="str">
        <x:v>GitHub Actions</x:v>
      </x:c>
      <x:c r="B13" s="56" t="str">
        <x:v>.github/workflows/ci-cd.yml</x:v>
      </x:c>
      <x:c r="C13" s="56" t="n">
        <x:v>74</x:v>
      </x:c>
      <x:c r="D13" s="56"/>
      <x:c r="E13" s="56" t="str">
        <x:v>已接入，待远端执行</x:v>
      </x:c>
      <x:c r="F13" s="47"/>
      <x:c r="G13" s="47"/>
      <x:c r="H13" s="47"/>
      <x:c r="I13" s="47"/>
      <x:c r="J13" s="47"/>
      <x:c r="K13" s="47"/>
      <x:c r="L13" s="47"/>
      <x:c r="M13" s="47"/>
      <x:c r="N13" s="47"/>
    </x:row>
    <x:row r="14" ht="30" customHeight="1">
      <x:c r="A14" s="56" t="str">
        <x:v>本机 E2E</x:v>
      </x:c>
      <x:c r="B14" s="56" t="str">
        <x:v>npm run test:e2e</x:v>
      </x:c>
      <x:c r="C14" s="56" t="n">
        <x:v>10</x:v>
      </x:c>
      <x:c r="D14" s="56" t="n">
        <x:v>0</x:v>
      </x:c>
      <x:c r="E14" s="56" t="str">
        <x:v>通过</x:v>
      </x:c>
      <x:c r="F14" s="47"/>
      <x:c r="G14" s="47"/>
      <x:c r="H14" s="47"/>
      <x:c r="I14" s="47"/>
      <x:c r="J14" s="47"/>
      <x:c r="K14" s="47"/>
      <x:c r="L14" s="47"/>
      <x:c r="M14" s="47"/>
      <x:c r="N14" s="47"/>
    </x:row>
  </x:sheetData>
  <x:mergeCells>
    <x:mergeCell ref="A1:N1"/>
  </x:mergeCells>
  <x:pageMargins left="0.7" right="0.7" top="0.75" bottom="0.75" header="0.3" footer="0.3"/>
  <x:drawing xmlns:r="http://schemas.openxmlformats.org/officeDocument/2006/relationships" r:id="R99268fe8c8634a5f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5" hidden="0" customWidth="1"/>
    <x:col min="6" max="6" width="25" hidden="0" customWidth="1"/>
    <x:col min="7" max="7" width="18" hidden="0" customWidth="1"/>
    <x:col min="8" max="8" width="18" hidden="0" customWidth="1"/>
  </x:cols>
  <x:sheetData>
    <x:row r="1" ht="34" customHeight="1">
      <x:c r="A1" s="2" t="str">
        <x:v>设计与测试编号字典（2026-08-29 修正版）</x:v>
      </x:c>
      <x:c r="B1" s="2"/>
      <x:c r="C1" s="2"/>
      <x:c r="D1" s="2"/>
      <x:c r="E1" s="2"/>
      <x:c r="F1" s="2"/>
      <x:c r="G1" s="2"/>
      <x:c r="H1" s="2"/>
    </x:row>
    <x:row r="3">
      <x:c r="A3" s="31" t="str">
        <x:v>用例</x:v>
      </x:c>
      <x:c r="B3" s="31" t="str">
        <x:v>系统级图</x:v>
      </x:c>
      <x:c r="C3" s="31" t="str">
        <x:v>组件级图</x:v>
      </x:c>
      <x:c r="D3" s="31" t="str">
        <x:v>对象级图</x:v>
      </x:c>
      <x:c r="E3" s="31" t="str">
        <x:v>单元/DAO</x:v>
      </x:c>
      <x:c r="F3" s="31" t="str">
        <x:v>API</x:v>
      </x:c>
      <x:c r="G3" s="31" t="str">
        <x:v>E2E</x:v>
      </x:c>
      <x:c r="H3" s="31" t="str">
        <x:v>编号状态</x:v>
      </x:c>
    </x:row>
    <x:row r="4" ht="38" customHeight="1">
      <x:c r="A4" s="57" t="str">
        <x:v>UC-01</x:v>
      </x:c>
      <x:c r="B4" s="57" t="str">
        <x:v>SYS-SEQ-01</x:v>
      </x:c>
      <x:c r="C4" s="57" t="str">
        <x:v>DES-SD-UC01</x:v>
      </x:c>
      <x:c r="D4" s="57" t="str">
        <x:v>OBJ-SEQ-01</x:v>
      </x:c>
      <x:c r="E4" s="57" t="str">
        <x:v>UNIT-01-01～02；DAO-01</x:v>
      </x:c>
      <x:c r="F4" s="57" t="str">
        <x:v>API-01-01</x:v>
      </x:c>
      <x:c r="G4" s="57" t="str">
        <x:v>E2E-01-01</x:v>
      </x:c>
      <x:c r="H4" s="60" t="str">
        <x:v>已核实</x:v>
      </x:c>
    </x:row>
    <x:row r="5" ht="38" customHeight="1">
      <x:c r="A5" s="57" t="str">
        <x:v>UC-02</x:v>
      </x:c>
      <x:c r="B5" s="57" t="str">
        <x:v>SYS-SEQ-02</x:v>
      </x:c>
      <x:c r="C5" s="57" t="str">
        <x:v>DES-SD-UC02</x:v>
      </x:c>
      <x:c r="D5" s="68" t="str">
        <x:v>待补</x:v>
      </x:c>
      <x:c r="E5" s="57" t="str">
        <x:v>UNIT-02-01～03；DAO-01</x:v>
      </x:c>
      <x:c r="F5" s="57" t="str">
        <x:v>API-02-01</x:v>
      </x:c>
      <x:c r="G5" s="57" t="str">
        <x:v>E2E-02-01</x:v>
      </x:c>
      <x:c r="H5" s="70" t="str">
        <x:v>对象级待补</x:v>
      </x:c>
    </x:row>
    <x:row r="6" ht="38" customHeight="1">
      <x:c r="A6" s="57" t="str">
        <x:v>UC-03</x:v>
      </x:c>
      <x:c r="B6" s="57" t="str">
        <x:v>SYS-SEQ-03</x:v>
      </x:c>
      <x:c r="C6" s="57" t="str">
        <x:v>DES-SD-UC03</x:v>
      </x:c>
      <x:c r="D6" s="68" t="str">
        <x:v>待补</x:v>
      </x:c>
      <x:c r="E6" s="57" t="str">
        <x:v>UNIT-03-01～04；DAO-02</x:v>
      </x:c>
      <x:c r="F6" s="57" t="str">
        <x:v>API-03-01、API-03-02</x:v>
      </x:c>
      <x:c r="G6" s="57" t="str">
        <x:v>E2E-03-01</x:v>
      </x:c>
      <x:c r="H6" s="70" t="str">
        <x:v>对象级待补</x:v>
      </x:c>
    </x:row>
    <x:row r="7" ht="38" customHeight="1">
      <x:c r="A7" s="57" t="str">
        <x:v>UC-04</x:v>
      </x:c>
      <x:c r="B7" s="57" t="str">
        <x:v>SYS-SEQ-04</x:v>
      </x:c>
      <x:c r="C7" s="57" t="str">
        <x:v>DES-SD-UC04</x:v>
      </x:c>
      <x:c r="D7" s="68" t="str">
        <x:v>待补</x:v>
      </x:c>
      <x:c r="E7" s="57" t="str">
        <x:v>UNIT-04-01～06；DAO-03</x:v>
      </x:c>
      <x:c r="F7" s="57" t="str">
        <x:v>API-04-01、API-04-02</x:v>
      </x:c>
      <x:c r="G7" s="57" t="str">
        <x:v>E2E-04-01</x:v>
      </x:c>
      <x:c r="H7" s="70" t="str">
        <x:v>对象级待补</x:v>
      </x:c>
    </x:row>
    <x:row r="8" ht="38" customHeight="1">
      <x:c r="A8" s="57" t="str">
        <x:v>UC-05</x:v>
      </x:c>
      <x:c r="B8" s="57" t="str">
        <x:v>SYS-SEQ-05</x:v>
      </x:c>
      <x:c r="C8" s="57" t="str">
        <x:v>DES-SD-UC05</x:v>
      </x:c>
      <x:c r="D8" s="57" t="str">
        <x:v>OBJ-SEQ-05</x:v>
      </x:c>
      <x:c r="E8" s="57" t="str">
        <x:v>UNIT-05-01～06；DAO-01</x:v>
      </x:c>
      <x:c r="F8" s="57" t="str">
        <x:v>API-05-01、API-05-02</x:v>
      </x:c>
      <x:c r="G8" s="57" t="str">
        <x:v>E2E-05-01</x:v>
      </x:c>
      <x:c r="H8" s="60" t="str">
        <x:v>已核实</x:v>
      </x:c>
    </x:row>
    <x:row r="9" ht="38" customHeight="1">
      <x:c r="A9" s="57" t="str">
        <x:v>UC-06</x:v>
      </x:c>
      <x:c r="B9" s="57" t="str">
        <x:v>SYS-SEQ-06</x:v>
      </x:c>
      <x:c r="C9" s="57" t="str">
        <x:v>DES-SD-UC06</x:v>
      </x:c>
      <x:c r="D9" s="57" t="str">
        <x:v>OBJ-SEQ-06</x:v>
      </x:c>
      <x:c r="E9" s="57" t="str">
        <x:v>UNIT-06-01～06；DAO-01</x:v>
      </x:c>
      <x:c r="F9" s="57" t="str">
        <x:v>API-06-01</x:v>
      </x:c>
      <x:c r="G9" s="57" t="str">
        <x:v>E2E-06-01</x:v>
      </x:c>
      <x:c r="H9" s="60" t="str">
        <x:v>已核实</x:v>
      </x:c>
    </x:row>
    <x:row r="10" ht="38" customHeight="1">
      <x:c r="A10" s="57" t="str">
        <x:v>UC-07</x:v>
      </x:c>
      <x:c r="B10" s="57" t="str">
        <x:v>SYS-SEQ-07</x:v>
      </x:c>
      <x:c r="C10" s="57" t="str">
        <x:v>DES-SD-UC07</x:v>
      </x:c>
      <x:c r="D10" s="57" t="str">
        <x:v>OBJ-SEQ-07</x:v>
      </x:c>
      <x:c r="E10" s="57" t="str">
        <x:v>UNIT-07-01～06；DAO-01</x:v>
      </x:c>
      <x:c r="F10" s="57" t="str">
        <x:v>API-07-01、API-07-02</x:v>
      </x:c>
      <x:c r="G10" s="57" t="str">
        <x:v>E2E-07-01</x:v>
      </x:c>
      <x:c r="H10" s="60" t="str">
        <x:v>已核实</x:v>
      </x:c>
    </x:row>
    <x:row r="11" ht="38" customHeight="1">
      <x:c r="A11" s="57" t="str">
        <x:v>UC-08</x:v>
      </x:c>
      <x:c r="B11" s="57" t="str">
        <x:v>SYS-SEQ-08</x:v>
      </x:c>
      <x:c r="C11" s="57" t="str">
        <x:v>DES-SD-UC08</x:v>
      </x:c>
      <x:c r="D11" s="57" t="str">
        <x:v>OBJ-SEQ-08</x:v>
      </x:c>
      <x:c r="E11" s="57" t="str">
        <x:v>UNIT-08-01～03；DAO-04</x:v>
      </x:c>
      <x:c r="F11" s="57" t="str">
        <x:v>API-08-01</x:v>
      </x:c>
      <x:c r="G11" s="57" t="str">
        <x:v>E2E-08-01</x:v>
      </x:c>
      <x:c r="H11" s="60" t="str">
        <x:v>已核实</x:v>
      </x:c>
    </x:row>
    <x:row r="12" ht="38" customHeight="1">
      <x:c r="A12" s="57" t="str">
        <x:v>UC-09</x:v>
      </x:c>
      <x:c r="B12" s="57" t="str">
        <x:v>SYS-SEQ-09</x:v>
      </x:c>
      <x:c r="C12" s="57" t="str">
        <x:v>DES-SD-UC09</x:v>
      </x:c>
      <x:c r="D12" s="57" t="str">
        <x:v>OBJ-SEQ-09</x:v>
      </x:c>
      <x:c r="E12" s="57" t="str">
        <x:v>UNIT-09-01～05；DAO-01</x:v>
      </x:c>
      <x:c r="F12" s="57" t="str">
        <x:v>API-09-01</x:v>
      </x:c>
      <x:c r="G12" s="57" t="str">
        <x:v>E2E-09-01</x:v>
      </x:c>
      <x:c r="H12" s="60" t="str">
        <x:v>已核实</x:v>
      </x:c>
    </x:row>
    <x:row r="13" ht="38" customHeight="1">
      <x:c r="A13" s="57" t="str">
        <x:v>UC-10</x:v>
      </x:c>
      <x:c r="B13" s="57" t="str">
        <x:v>SYS-SEQ-10</x:v>
      </x:c>
      <x:c r="C13" s="57" t="str">
        <x:v>DES-SD-UC10</x:v>
      </x:c>
      <x:c r="D13" s="68" t="str">
        <x:v>待补</x:v>
      </x:c>
      <x:c r="E13" s="57" t="str">
        <x:v>UNIT-10-01～04；DAO-01</x:v>
      </x:c>
      <x:c r="F13" s="57" t="str">
        <x:v>API-10-01、API-10-02</x:v>
      </x:c>
      <x:c r="G13" s="57" t="str">
        <x:v>E2E-10-01</x:v>
      </x:c>
      <x:c r="H13" s="70" t="str">
        <x:v>对象级待补</x:v>
      </x:c>
    </x:row>
  </x:sheetData>
  <x:mergeCells>
    <x:mergeCell ref="A1:H1"/>
  </x:mergeCells>
  <x:pageMargins left="0.7" right="0.7" top="0.75" bottom="0.75" header="0.3" footer="0.3"/>
</x:worksheet>
</file>